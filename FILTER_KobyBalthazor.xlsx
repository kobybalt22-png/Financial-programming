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880" tabRatio="600" firstSheet="0" activeTab="0" autoFilterDateGrouping="1"/>
  </bookViews>
  <sheets>
    <sheet xmlns:r="http://schemas.openxmlformats.org/officeDocument/2006/relationships" name="FILTER_KobyBalthazor" sheetId="1" state="visible" r:id="rId1"/>
  </sheets>
  <definedNames>
    <definedName name="fd_expected" localSheetId="0">FILTER_KobyBalthazor!$B$42</definedName>
    <definedName name="fd_finance" localSheetId="0">FILTER_KobyBalthazor!$B$46</definedName>
    <definedName name="fd_function" localSheetId="0">FILTER_KobyBalthazor!$B$3</definedName>
    <definedName name="fd_mistake" localSheetId="0">FILTER_KobyBalthazor!$B$50</definedName>
    <definedName name="fd_student" localSheetId="0">FILTER_KobyBalthazor!$B$6</definedName>
    <definedName name="fd_syntax" localSheetId="0">FILTER_KobyBalthazor!$B$13</definedName>
    <definedName name="fd_what" localSheetId="0">FILTER_KobyBalthazor!$B$9</definedName>
  </definedNames>
  <calcPr calcId="18102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rgb="FF1C5438"/>
      <sz val="16"/>
    </font>
    <font>
      <name val="Calibri"/>
      <family val="2"/>
      <b val="1"/>
      <color rgb="FF1C5438"/>
      <sz val="11"/>
    </font>
    <font>
      <name val="Calibri"/>
      <family val="2"/>
      <color rgb="FF7A857C"/>
      <sz val="10"/>
    </font>
    <font>
      <name val="Calibri"/>
      <family val="2"/>
      <b val="1"/>
      <color rgb="FF1C5438"/>
      <sz val="22"/>
    </font>
    <font>
      <name val="Calibri"/>
      <family val="2"/>
      <b val="1"/>
      <sz val="11"/>
    </font>
    <font>
      <name val="Calibri"/>
      <family val="2"/>
      <b val="1"/>
      <color rgb="FFFFFFFF"/>
      <sz val="12"/>
    </font>
    <font>
      <name val="Consolas"/>
      <family val="2"/>
      <sz val="11"/>
    </font>
    <font>
      <name val="Calibri"/>
      <family val="2"/>
      <i val="1"/>
      <color rgb="FF7A857C"/>
      <sz val="11"/>
    </font>
    <font>
      <name val="Calibri"/>
      <family val="2"/>
      <b val="1"/>
      <color rgb="FF1C5438"/>
      <sz val="12"/>
    </font>
    <font>
      <name val="Calibri"/>
      <family val="2"/>
      <sz val="12"/>
    </font>
    <font>
      <name val="Calibri (Body)"/>
      <i val="1"/>
      <color rgb="FF404040"/>
      <sz val="14"/>
    </font>
    <font>
      <name val="Calibri (Body)"/>
      <color theme="1"/>
      <sz val="14"/>
    </font>
    <font>
      <name val="Calibri"/>
      <family val="2"/>
      <b val="1"/>
      <color rgb="FFC00000"/>
      <sz val="11"/>
      <scheme val="minor"/>
    </font>
    <font>
      <name val="Calibri"/>
      <color rgb="FF0000FF"/>
      <sz val="11"/>
    </font>
  </fonts>
  <fills count="6">
    <fill>
      <patternFill/>
    </fill>
    <fill>
      <patternFill patternType="gray125"/>
    </fill>
    <fill>
      <patternFill patternType="solid">
        <fgColor rgb="FFD9E6DD"/>
      </patternFill>
    </fill>
    <fill>
      <patternFill patternType="solid">
        <fgColor rgb="FF1C5438"/>
      </patternFill>
    </fill>
    <fill>
      <patternFill patternType="solid">
        <fgColor rgb="FFEAF1EC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 style="thin">
        <color rgb="FFC3CEC5"/>
      </left>
      <right style="thin">
        <color rgb="FFC3CEC5"/>
      </right>
      <top style="thin">
        <color rgb="FFC3CEC5"/>
      </top>
      <bottom style="thin">
        <color rgb="FFC3CEC5"/>
      </bottom>
      <diagonal/>
    </border>
    <border>
      <left/>
      <right/>
      <top style="dashed">
        <color rgb="FFC3CEC5"/>
      </top>
      <bottom/>
      <diagonal/>
    </border>
    <border>
      <left/>
      <right/>
      <top/>
      <bottom style="dashed">
        <color rgb="FFC3CEC5"/>
      </bottom>
      <diagonal/>
    </border>
    <border>
      <left style="dashed">
        <color rgb="FFC3CEC5"/>
      </left>
      <right/>
      <top style="dashed">
        <color rgb="FFC3CEC5"/>
      </top>
      <bottom/>
      <diagonal/>
    </border>
    <border>
      <left/>
      <right style="dashed">
        <color rgb="FFC3CEC5"/>
      </right>
      <top style="dashed">
        <color rgb="FFC3CEC5"/>
      </top>
      <bottom/>
      <diagonal/>
    </border>
    <border>
      <left style="dashed">
        <color rgb="FFC3CEC5"/>
      </left>
      <right/>
      <top/>
      <bottom/>
      <diagonal/>
    </border>
    <border>
      <left/>
      <right style="dashed">
        <color rgb="FFC3CEC5"/>
      </right>
      <top/>
      <bottom/>
      <diagonal/>
    </border>
    <border>
      <left style="dashed">
        <color rgb="FFC3CEC5"/>
      </left>
      <right/>
      <top/>
      <bottom style="dashed">
        <color rgb="FFC3CEC5"/>
      </bottom>
      <diagonal/>
    </border>
    <border>
      <left/>
      <right style="dashed">
        <color rgb="FFC3CEC5"/>
      </right>
      <top/>
      <bottom style="dashed">
        <color rgb="FFC3CEC5"/>
      </bottom>
      <diagonal/>
    </border>
    <border>
      <left style="medium">
        <color rgb="FF1C5438"/>
      </left>
      <right style="medium">
        <color rgb="FF1C5438"/>
      </right>
      <top style="medium">
        <color rgb="FF1C5438"/>
      </top>
      <bottom style="medium">
        <color rgb="FF1C5438"/>
      </bottom>
      <diagonal/>
    </border>
    <border>
      <left/>
      <right/>
      <top style="thin">
        <color rgb="FFC3CEC5"/>
      </top>
      <bottom/>
      <diagonal/>
    </border>
    <border>
      <left/>
      <right style="thin">
        <color rgb="FFC3CEC5"/>
      </right>
      <top style="thin">
        <color rgb="FFC3CEC5"/>
      </top>
      <bottom/>
      <diagonal/>
    </border>
    <border>
      <left/>
      <right/>
      <top style="thin">
        <color rgb="FFC3CEC5"/>
      </top>
      <bottom style="thin">
        <color rgb="FFC3CEC5"/>
      </bottom>
      <diagonal/>
    </border>
    <border>
      <left/>
      <right style="thin">
        <color rgb="FFC3CEC5"/>
      </right>
      <top style="thin">
        <color rgb="FFC3CEC5"/>
      </top>
      <bottom style="thin">
        <color rgb="FFC3CEC5"/>
      </bottom>
      <diagonal/>
    </border>
    <border>
      <left style="thin">
        <color rgb="FFC3CEC5"/>
      </left>
      <right/>
      <top/>
      <bottom/>
      <diagonal/>
    </border>
    <border>
      <left/>
      <right style="thin">
        <color rgb="FFC3CEC5"/>
      </right>
      <top/>
      <bottom/>
      <diagonal/>
    </border>
    <border>
      <left style="thin">
        <color rgb="FFC3CEC5"/>
      </left>
      <right/>
      <top/>
      <bottom style="thin">
        <color rgb="FFC3CEC5"/>
      </bottom>
      <diagonal/>
    </border>
    <border>
      <left/>
      <right/>
      <top/>
      <bottom style="thin">
        <color rgb="FFC3CEC5"/>
      </bottom>
      <diagonal/>
    </border>
    <border>
      <left/>
      <right style="thin">
        <color rgb="FFC3CEC5"/>
      </right>
      <top/>
      <bottom style="thin">
        <color rgb="FFC3CEC5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7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8" fillId="0" borderId="0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2" fillId="0" borderId="1" pivotButton="0" quotePrefix="0" xfId="0"/>
    <xf numFmtId="0" fontId="8" fillId="0" borderId="1" pivotButton="0" quotePrefix="0" xfId="0"/>
    <xf numFmtId="0" fontId="2" fillId="0" borderId="6" pivotButton="0" quotePrefix="0" xfId="0"/>
    <xf numFmtId="0" fontId="0" fillId="4" borderId="10" pivotButton="0" quotePrefix="0" xfId="0"/>
    <xf numFmtId="0" fontId="7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vertical="top" wrapText="1"/>
    </xf>
    <xf numFmtId="49" fontId="7" fillId="0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pivotButton="0" quotePrefix="0" xfId="0"/>
    <xf numFmtId="0" fontId="9" fillId="4" borderId="0" applyAlignment="1" pivotButton="0" quotePrefix="0" xfId="0">
      <alignment vertical="center" indent="1"/>
    </xf>
    <xf numFmtId="0" fontId="8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center" indent="1"/>
    </xf>
    <xf numFmtId="0" fontId="7" fillId="0" borderId="1" pivotButton="0" quotePrefix="0" xfId="0"/>
    <xf numFmtId="0" fontId="5" fillId="0" borderId="1" applyAlignment="1" pivotButton="0" quotePrefix="0" xfId="0">
      <alignment vertical="center" indent="1"/>
    </xf>
    <xf numFmtId="0" fontId="10" fillId="0" borderId="1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2" fillId="2" borderId="4" pivotButton="0" quotePrefix="0" xfId="0"/>
    <xf numFmtId="0" fontId="2" fillId="2" borderId="6" pivotButton="0" quotePrefix="0" xfId="0"/>
    <xf numFmtId="0" fontId="2" fillId="2" borderId="0" pivotButton="0" quotePrefix="0" xfId="0"/>
    <xf numFmtId="0" fontId="2" fillId="0" borderId="0" applyAlignment="1" pivotButton="0" quotePrefix="0" xfId="0">
      <alignment horizontal="right"/>
    </xf>
    <xf numFmtId="164" fontId="14" fillId="5" borderId="0" pivotButton="0" quotePrefix="0" xfId="0"/>
    <xf numFmtId="0" fontId="14" fillId="0" borderId="6" pivotButton="0" quotePrefix="0" xfId="0"/>
    <xf numFmtId="0" fontId="14" fillId="0" borderId="0" pivotButton="0" quotePrefix="0" xfId="0"/>
    <xf numFmtId="164" fontId="14" fillId="0" borderId="0" pivotButton="0" quotePrefix="0" xfId="0"/>
    <xf numFmtId="0" fontId="2" fillId="2" borderId="7" pivotButton="0" quotePrefix="0" xfId="0"/>
    <xf numFmtId="0" fontId="0" fillId="4" borderId="0" pivotButton="0" quotePrefix="0" xfId="0"/>
    <xf numFmtId="164" fontId="0" fillId="4" borderId="7" pivotButton="0" quotePrefix="0" xfId="0"/>
  </cellXfs>
  <cellStyles count="1">
    <cellStyle name="Normal" xfId="0" builtinId="0"/>
  </cellStyles>
  <dxfs count="2">
    <dxf>
      <font>
        <name val="Calibri"/>
        <b val="1"/>
        <color rgb="FF8A5A00"/>
      </font>
      <fill>
        <patternFill patternType="solid">
          <fgColor rgb="FFFDF3D8"/>
          <bgColor rgb="FFFDF3D8"/>
        </patternFill>
      </fill>
    </dxf>
    <dxf>
      <font>
        <name val="Calibri"/>
        <b val="1"/>
        <color rgb="FF1C5438"/>
      </font>
      <fill>
        <patternFill patternType="solid">
          <fgColor rgb="FFDFF3E4"/>
          <bgColor rgb="FFDFF3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openxmlformats.org/officeDocument/2006/relationships/sheetMetadata" Target="metadata.xml" Id="rIdMeta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60"/>
  <sheetViews>
    <sheetView showGridLines="0" tabSelected="1" zoomScale="120" zoomScaleNormal="120" workbookViewId="0">
      <selection activeCell="B4" sqref="B4"/>
    </sheetView>
  </sheetViews>
  <sheetFormatPr baseColWidth="10" defaultColWidth="8.83203125" defaultRowHeight="15"/>
  <cols>
    <col width="2.5" customWidth="1" style="28" min="1" max="1"/>
    <col width="24" customWidth="1" style="28" min="2" max="2"/>
    <col width="17" customWidth="1" style="28" min="3" max="7"/>
    <col width="13" customWidth="1" style="28" min="4" max="4"/>
    <col width="13" customWidth="1" style="28" min="5" max="5"/>
    <col width="13" customWidth="1" style="28" min="6" max="6"/>
    <col width="13" customWidth="1" style="28" min="7" max="7"/>
    <col width="24" customWidth="1" style="28" min="8" max="8"/>
  </cols>
  <sheetData>
    <row r="2">
      <c r="B2" s="5" t="inlineStr">
        <is>
          <t>FINC 4201 · Excel Function Demo</t>
        </is>
      </c>
    </row>
    <row r="3" ht="30" customHeight="1" s="28">
      <c r="B3" s="27" t="inlineStr">
        <is>
          <t>FILTER</t>
        </is>
      </c>
    </row>
    <row r="5">
      <c r="B5" s="2" t="inlineStr">
        <is>
          <t>Student</t>
        </is>
      </c>
      <c r="D5" s="2" t="inlineStr">
        <is>
          <t>Submit-ready check</t>
        </is>
      </c>
    </row>
    <row r="6">
      <c r="B6" s="22" t="inlineStr">
        <is>
          <t>Koby Balthazor</t>
        </is>
      </c>
      <c r="D6" s="36" t="str">
        <f>IF((N(fd_student="")+N(OR(fd_function="",ISNUMBER(SEARCH("replace me",fd_function))))+N(OR(fd_syntax="",ISNUMBER(SEARCH("argument1",fd_syntax))))+N(OR(fd_what="",ISNUMBER(SEARCH("plain-English sentences",fd_what))))+N(OR(fd_expected="",ISNUMBER(SEARCH("interpret the output",fd_expected))))+N(OR(fd_finance="",ISNUMBER(SEARCH("practical situation",fd_finance))))+N(OR(fd_mistake="",ISNUMBER(SEARCH("goes wrong for beginners",fd_mistake)))))=0,"Ready to submit.",(N(fd_student="")+N(OR(fd_function="",ISNUMBER(SEARCH("replace me",fd_function))))+N(OR(fd_syntax="",ISNUMBER(SEARCH("argument1",fd_syntax))))+N(OR(fd_what="",ISNUMBER(SEARCH("plain-English sentences",fd_what))))+N(OR(fd_expected="",ISNUMBER(SEARCH("interpret the output",fd_expected))))+N(OR(fd_finance="",ISNUMBER(SEARCH("practical situation",fd_finance))))+N(OR(fd_mistake="",ISNUMBER(SEARCH("goes wrong for beginners",fd_mistake)))))&amp;" required field(s) still empty: fill the boxes above.")</f>
        <v>Ready to submit.</v>
      </c>
      <c r="E6" s="38" t="n"/>
      <c r="F6" s="38" t="n"/>
      <c r="G6" s="38" t="n"/>
      <c r="H6" s="39" t="n"/>
    </row>
    <row r="8" ht="20" customHeight="1" s="28">
      <c r="B8" s="34" t="inlineStr">
        <is>
          <t>1 · What it does</t>
        </is>
      </c>
    </row>
    <row r="9" ht="24" customHeight="1" s="28">
      <c r="B9" s="37" t="inlineStr">
        <is>
          <t>FILTER pulls out only the rows of a table that pass a rule you set, and lists them in a new spot. It is like asking Excel: "show me just the rows where ___ is true." The list updates by itself when the data or the rule changes.</t>
        </is>
      </c>
      <c r="C9" s="40" t="n"/>
      <c r="D9" s="40" t="n"/>
      <c r="E9" s="40" t="n"/>
      <c r="F9" s="40" t="n"/>
      <c r="G9" s="40" t="n"/>
      <c r="H9" s="41" t="n"/>
    </row>
    <row r="10" ht="24" customHeight="1" s="28">
      <c r="B10" s="42" t="n"/>
      <c r="C10" s="43" t="n"/>
      <c r="D10" s="43" t="n"/>
      <c r="E10" s="43" t="n"/>
      <c r="F10" s="43" t="n"/>
      <c r="G10" s="43" t="n"/>
      <c r="H10" s="44" t="n"/>
    </row>
    <row r="12" ht="20" customHeight="1" s="28">
      <c r="B12" s="34" t="inlineStr">
        <is>
          <t>2 · Syntax</t>
        </is>
      </c>
    </row>
    <row r="13">
      <c r="B13" s="26" t="inlineStr">
        <is>
          <t>=FILTER(array, include, [if_empty])</t>
        </is>
      </c>
      <c r="C13" s="38" t="n"/>
      <c r="D13" s="38" t="n"/>
      <c r="E13" s="38" t="n"/>
      <c r="F13" s="38" t="n"/>
      <c r="G13" s="38" t="n"/>
      <c r="H13" s="39" t="n"/>
    </row>
    <row r="14">
      <c r="B14" s="23" t="inlineStr">
        <is>
          <t>Function</t>
        </is>
      </c>
      <c r="C14" s="23" t="inlineStr">
        <is>
          <t>Argument</t>
        </is>
      </c>
      <c r="D14" s="23" t="inlineStr">
        <is>
          <t>Required?</t>
        </is>
      </c>
      <c r="E14" s="23" t="inlineStr">
        <is>
          <t>What it means</t>
        </is>
      </c>
      <c r="F14" s="38" t="n"/>
      <c r="G14" s="38" t="n"/>
      <c r="H14" s="39" t="n"/>
    </row>
    <row r="15">
      <c r="B15" s="35" t="n"/>
      <c r="C15" s="35" t="inlineStr">
        <is>
          <t>array</t>
        </is>
      </c>
      <c r="D15" s="22" t="inlineStr">
        <is>
          <t>Yes</t>
        </is>
      </c>
      <c r="E15" s="25" t="inlineStr">
        <is>
          <t>the table (or column) you want results from: this is what gets shown</t>
        </is>
      </c>
      <c r="F15" s="38" t="n"/>
      <c r="G15" s="38" t="n"/>
      <c r="H15" s="39" t="n"/>
    </row>
    <row r="16" ht="30" customHeight="1" s="28">
      <c r="B16" s="35" t="n"/>
      <c r="C16" s="35" t="inlineStr">
        <is>
          <t>include</t>
        </is>
      </c>
      <c r="D16" s="22" t="inlineStr">
        <is>
          <t>Yes</t>
        </is>
      </c>
      <c r="E16" s="25" t="inlineStr">
        <is>
          <t>the rule, written as a TRUE/FALSE test for each row (e.g. D24:D31&gt;=G23). It must be the same height as array.</t>
        </is>
      </c>
      <c r="F16" s="38" t="n"/>
      <c r="G16" s="38" t="n"/>
      <c r="H16" s="39" t="n"/>
    </row>
    <row r="17" ht="30" customHeight="1" s="28">
      <c r="B17" s="35" t="n"/>
      <c r="C17" s="35" t="inlineStr">
        <is>
          <t>[if_empty]</t>
        </is>
      </c>
      <c r="D17" s="22" t="inlineStr">
        <is>
          <t>No</t>
        </is>
      </c>
      <c r="E17" s="25" t="inlineStr">
        <is>
          <t>what to show if no row passes the rule (e.g. "No matches"). Leave it out and you get a #CALC! error.</t>
        </is>
      </c>
      <c r="F17" s="38" t="n"/>
      <c r="G17" s="38" t="n"/>
      <c r="H17" s="39" t="n"/>
    </row>
    <row r="18">
      <c r="B18" s="35" t="n"/>
      <c r="C18" s="35" t="n"/>
      <c r="D18" s="22" t="n"/>
      <c r="E18" s="25" t="n"/>
      <c r="F18" s="38" t="n"/>
      <c r="G18" s="38" t="n"/>
      <c r="H18" s="39" t="n"/>
    </row>
    <row r="19">
      <c r="B19" s="33" t="inlineStr">
        <is>
          <t>Claimed a pair or trio? Put each function's name in the first column, and list its own arguments beside it. Need more lines? Right-click a row number and choose Insert.</t>
        </is>
      </c>
    </row>
    <row r="20" ht="20" customHeight="1" s="28">
      <c r="B20" s="34" t="inlineStr">
        <is>
          <t>3 · Worked example, your own idea and data</t>
        </is>
      </c>
    </row>
    <row r="21" ht="30" customHeight="1" s="28">
      <c r="B21" s="33" t="inlineStr">
        <is>
          <t>My stock screener: type a minimum dividend yield in the yellow cell (G23) and FILTER lists every stock on the watchlist that pays at least that much.</t>
        </is>
      </c>
    </row>
    <row r="22">
      <c r="B22" s="45" t="inlineStr">
        <is>
          <t>My dividend watchlist</t>
        </is>
      </c>
      <c r="C22" s="8" t="n"/>
      <c r="D22" s="8" t="n"/>
      <c r="E22" s="8" t="n"/>
      <c r="F22" s="8" t="n"/>
      <c r="G22" s="8" t="n"/>
      <c r="H22" s="9" t="n"/>
    </row>
    <row r="23">
      <c r="B23" s="46" t="inlineStr">
        <is>
          <t>Ticker</t>
        </is>
      </c>
      <c r="C23" s="47" t="inlineStr">
        <is>
          <t>Company</t>
        </is>
      </c>
      <c r="D23" s="47" t="inlineStr">
        <is>
          <t>Div. Yield</t>
        </is>
      </c>
      <c r="F23" s="48" t="inlineStr">
        <is>
          <t>Minimum yield:</t>
        </is>
      </c>
      <c r="G23" s="49" t="n">
        <v>0.03</v>
      </c>
      <c r="H23" s="11" t="inlineStr">
        <is>
          <t>&lt;- change me to test it</t>
        </is>
      </c>
    </row>
    <row r="24">
      <c r="B24" s="50" t="inlineStr">
        <is>
          <t>AAPL</t>
        </is>
      </c>
      <c r="C24" s="51" t="inlineStr">
        <is>
          <t>Apple</t>
        </is>
      </c>
      <c r="D24" s="52" t="n">
        <v>0.005</v>
      </c>
      <c r="H24" s="11" t="n"/>
    </row>
    <row r="25">
      <c r="B25" s="50" t="inlineStr">
        <is>
          <t>KO</t>
        </is>
      </c>
      <c r="C25" s="51" t="inlineStr">
        <is>
          <t>Coca-Cola</t>
        </is>
      </c>
      <c r="D25" s="52" t="n">
        <v>0.029</v>
      </c>
      <c r="F25" s="2" t="inlineStr">
        <is>
          <t>Stocks that pass the screen (FILTER result):</t>
        </is>
      </c>
      <c r="H25" s="11" t="n"/>
    </row>
    <row r="26">
      <c r="B26" s="50" t="inlineStr">
        <is>
          <t>JNJ</t>
        </is>
      </c>
      <c r="C26" s="51" t="inlineStr">
        <is>
          <t>Johnson &amp; Johnson</t>
        </is>
      </c>
      <c r="D26" s="52" t="n">
        <v>0.032</v>
      </c>
      <c r="F26" s="47" t="inlineStr">
        <is>
          <t>Ticker</t>
        </is>
      </c>
      <c r="G26" s="47" t="inlineStr">
        <is>
          <t>Company</t>
        </is>
      </c>
      <c r="H26" s="53" t="inlineStr">
        <is>
          <t>Div. Yield</t>
        </is>
      </c>
    </row>
    <row r="27">
      <c r="B27" s="50" t="inlineStr">
        <is>
          <t>MSFT</t>
        </is>
      </c>
      <c r="C27" s="51" t="inlineStr">
        <is>
          <t>Microsoft</t>
        </is>
      </c>
      <c r="D27" s="52" t="n">
        <v>0.007</v>
      </c>
      <c r="F27" s="54" t="str" cm="1">
        <f t="array" ref="F27:H31">_xlfn._xlws.FILTER(B24:D31,D24:D31&gt;=G23,"No stocks meet the minimum")</f>
        <v>JNJ</v>
      </c>
      <c r="G27" s="54" t="inlineStr">
        <is>
          <t>Johnson &amp; Johnson</t>
        </is>
      </c>
      <c r="H27" s="55">
        <v>0.032</v>
      </c>
    </row>
    <row r="28">
      <c r="B28" s="50" t="inlineStr">
        <is>
          <t>PFE</t>
        </is>
      </c>
      <c r="C28" s="51" t="inlineStr">
        <is>
          <t>Pfizer</t>
        </is>
      </c>
      <c r="D28" s="52" t="n">
        <v>0.065</v>
      </c>
      <c r="F28" s="54" t="inlineStr">
        <is>
          <t>PFE</t>
        </is>
      </c>
      <c r="G28" s="54" t="inlineStr">
        <is>
          <t>Pfizer</t>
        </is>
      </c>
      <c r="H28" s="55">
        <v>0.065</v>
      </c>
    </row>
    <row r="29">
      <c r="B29" s="50" t="inlineStr">
        <is>
          <t>T</t>
        </is>
      </c>
      <c r="C29" s="51" t="inlineStr">
        <is>
          <t>AT&amp;T</t>
        </is>
      </c>
      <c r="D29" s="52" t="n">
        <v>0.04</v>
      </c>
      <c r="F29" s="54" t="inlineStr">
        <is>
          <t>T</t>
        </is>
      </c>
      <c r="G29" s="54" t="inlineStr">
        <is>
          <t>AT&amp;T</t>
        </is>
      </c>
      <c r="H29" s="55">
        <v>0.04</v>
      </c>
    </row>
    <row r="30">
      <c r="B30" s="50" t="inlineStr">
        <is>
          <t>VZ</t>
        </is>
      </c>
      <c r="C30" s="51" t="inlineStr">
        <is>
          <t>Verizon</t>
        </is>
      </c>
      <c r="D30" s="52" t="n">
        <v>0.063</v>
      </c>
      <c r="F30" s="54" t="inlineStr">
        <is>
          <t>VZ</t>
        </is>
      </c>
      <c r="G30" s="54" t="inlineStr">
        <is>
          <t>Verizon</t>
        </is>
      </c>
      <c r="H30" s="55">
        <v>0.063</v>
      </c>
    </row>
    <row r="31">
      <c r="B31" s="50" t="inlineStr">
        <is>
          <t>XOM</t>
        </is>
      </c>
      <c r="C31" s="51" t="inlineStr">
        <is>
          <t>ExxonMobil</t>
        </is>
      </c>
      <c r="D31" s="52" t="n">
        <v>0.034</v>
      </c>
      <c r="F31" s="54" t="inlineStr">
        <is>
          <t>XOM</t>
        </is>
      </c>
      <c r="G31" s="54" t="inlineStr">
        <is>
          <t>ExxonMobil</t>
        </is>
      </c>
      <c r="H31" s="55">
        <v>0.034</v>
      </c>
    </row>
    <row r="32">
      <c r="B32" s="10" t="n"/>
      <c r="F32" s="54" t="n"/>
      <c r="G32" s="54" t="n"/>
      <c r="H32" s="55" t="n"/>
    </row>
    <row r="33">
      <c r="B33" s="10" t="inlineStr">
        <is>
          <t>Results spill down from F27 automatically.</t>
        </is>
      </c>
      <c r="F33" s="54" t="n"/>
      <c r="G33" s="54" t="n"/>
      <c r="H33" s="55" t="n"/>
    </row>
    <row r="34">
      <c r="B34" s="10" t="inlineStr">
        <is>
          <t>Keep F27:H34 empty so it has room.</t>
        </is>
      </c>
      <c r="F34" s="54" t="n"/>
      <c r="G34" s="54" t="n"/>
      <c r="H34" s="55" t="n"/>
    </row>
    <row r="35">
      <c r="B35" s="13" t="n"/>
      <c r="C35" s="14" t="n"/>
      <c r="D35" s="14" t="n"/>
      <c r="E35" s="14" t="n"/>
      <c r="F35" s="14" t="n"/>
      <c r="G35" s="14" t="n"/>
      <c r="H35" s="15" t="n"/>
    </row>
    <row r="37">
      <c r="B37" s="16" t="inlineStr">
        <is>
          <t>Main formula cell:</t>
        </is>
      </c>
      <c r="C37" s="22" t="inlineStr">
        <is>
          <t>F27</t>
        </is>
      </c>
      <c r="D37" s="35" t="str">
        <f>IF($C$37="","",IFERROR(_xlfn.FORMULATEXT(INDIRECT($C$37)),"(check C37: that cell has no formula in it)"))</f>
        <v>=FILTER(B24:D31,D24:D31&gt;=G23,"No stocks meet the minimum")</v>
      </c>
      <c r="E37" s="38" t="n"/>
      <c r="F37" s="38" t="n"/>
      <c r="G37" s="38" t="n"/>
      <c r="H37" s="39" t="n"/>
    </row>
    <row r="38">
      <c r="B38" s="17" t="inlineStr">
        <is>
          <t>More formulas (optional):</t>
        </is>
      </c>
      <c r="C38" s="17" t="n"/>
      <c r="D38" s="35">
        <f>IF($C$38="","",IFERROR(_xlfn.FORMULATEXT(INDIRECT($C$38)),"(check C38: that cell has no formula in it)"))</f>
        <v/>
      </c>
      <c r="E38" s="38" t="n"/>
      <c r="F38" s="38" t="n"/>
      <c r="G38" s="38" t="n"/>
      <c r="H38" s="39" t="n"/>
    </row>
    <row r="39">
      <c r="B39" s="22" t="n"/>
      <c r="C39" s="17" t="n"/>
      <c r="D39" s="35">
        <f>IF($C$39="","",IFERROR(_xlfn.FORMULATEXT(INDIRECT($C$39)),"(check C39: that cell has no formula in it)"))</f>
        <v/>
      </c>
      <c r="E39" s="38" t="n"/>
      <c r="F39" s="38" t="n"/>
      <c r="G39" s="38" t="n"/>
      <c r="H39" s="39" t="n"/>
    </row>
    <row r="40">
      <c r="C40" s="29" t="n"/>
      <c r="D40" s="20" t="n"/>
    </row>
    <row r="41" ht="20" customHeight="1" s="28">
      <c r="B41" s="34" t="inlineStr">
        <is>
          <t>4 · Expected result</t>
        </is>
      </c>
    </row>
    <row r="42" ht="30" customHeight="1" s="28">
      <c r="B42" s="37" t="inlineStr">
        <is>
          <t>With the minimum at 3.0%, FILTER returns 5 stocks: JNJ, PFE, T, VZ and XOM, in the same order as the watchlist. It tests each yield in D24:D31 against G23 and copies only the rows that come back TRUE. Coca-Cola (2.9%) just misses the cutoff, and low-yield tech stocks (Apple, Microsoft) are left out. Change G23 to 6% and only PFE and VZ remain; at 10% it shows "No stocks meet the minimum".</t>
        </is>
      </c>
      <c r="C42" s="40" t="n"/>
      <c r="D42" s="40" t="n"/>
      <c r="E42" s="40" t="n"/>
      <c r="F42" s="40" t="n"/>
      <c r="G42" s="40" t="n"/>
      <c r="H42" s="41" t="n"/>
    </row>
    <row r="43" ht="30" customHeight="1" s="28">
      <c r="B43" s="42" t="n"/>
      <c r="C43" s="43" t="n"/>
      <c r="D43" s="43" t="n"/>
      <c r="E43" s="43" t="n"/>
      <c r="F43" s="43" t="n"/>
      <c r="G43" s="43" t="n"/>
      <c r="H43" s="44" t="n"/>
    </row>
    <row r="45" ht="20" customHeight="1" s="28">
      <c r="B45" s="34" t="inlineStr">
        <is>
          <t>5 · Practical finance application</t>
        </is>
      </c>
    </row>
    <row r="46" ht="26" customHeight="1" s="28">
      <c r="B46" s="37" t="inlineStr">
        <is>
          <t>An income-focused portfolio manager screening a watchlist for stocks that pay at least a target dividend yield, to build a shortlist for a retiree client who needs steady cash. The same idea works for any screen: bonds rated A or better, loans more than 30 days past due, or expenses over budget.</t>
        </is>
      </c>
      <c r="C46" s="40" t="n"/>
      <c r="D46" s="40" t="n"/>
      <c r="E46" s="40" t="n"/>
      <c r="F46" s="40" t="n"/>
      <c r="G46" s="40" t="n"/>
      <c r="H46" s="41" t="n"/>
    </row>
    <row r="47" ht="26" customHeight="1" s="28">
      <c r="B47" s="42" t="n"/>
      <c r="C47" s="43" t="n"/>
      <c r="D47" s="43" t="n"/>
      <c r="E47" s="43" t="n"/>
      <c r="F47" s="43" t="n"/>
      <c r="G47" s="43" t="n"/>
      <c r="H47" s="44" t="n"/>
    </row>
    <row r="49" ht="20" customHeight="1" s="28">
      <c r="B49" s="34" t="inlineStr">
        <is>
          <t>6 · Common mistake or limitation</t>
        </is>
      </c>
    </row>
    <row r="50" ht="34" customHeight="1" s="28">
      <c r="B50" s="37" t="inlineStr">
        <is>
          <t>Getting a #SPILL! error: FILTER needs empty cells below/beside it to spill into, so anything typed in F27:H34 breaks it (clear those cells). Also: the include range must be the same height as the array (D24:D31 with B24:D31), or you get #VALUE!; with no matches and no if_empty you get #CALC!; and FILTER only exists in Excel 365 / 2021+, so older Excel shows #NAME?.</t>
        </is>
      </c>
      <c r="C50" s="40" t="n"/>
      <c r="D50" s="40" t="n"/>
      <c r="E50" s="40" t="n"/>
      <c r="F50" s="40" t="n"/>
      <c r="G50" s="40" t="n"/>
      <c r="H50" s="41" t="n"/>
    </row>
    <row r="51" ht="34" customHeight="1" s="28">
      <c r="B51" s="42" t="n"/>
      <c r="C51" s="43" t="n"/>
      <c r="D51" s="43" t="n"/>
      <c r="E51" s="43" t="n"/>
      <c r="F51" s="43" t="n"/>
      <c r="G51" s="43" t="n"/>
      <c r="H51" s="44" t="n"/>
    </row>
    <row r="53" ht="20" customHeight="1" s="28">
      <c r="B53" s="32" t="inlineStr">
        <is>
          <t>Assumptions (if applicable)</t>
        </is>
      </c>
    </row>
    <row r="54" ht="19" customHeight="1" s="28">
      <c r="B54" s="37" t="inlineStr">
        <is>
          <t>Dividend yields are approximate, rounded numbers chosen for illustration (not live market data). The 3.0% minimum yield is my own screening cutoff (input cell G23).</t>
        </is>
      </c>
      <c r="C54" s="40" t="n"/>
      <c r="D54" s="40" t="n"/>
      <c r="E54" s="40" t="n"/>
      <c r="F54" s="40" t="n"/>
      <c r="G54" s="40" t="n"/>
      <c r="H54" s="41" t="n"/>
    </row>
    <row r="55" ht="22" customHeight="1" s="28">
      <c r="B55" s="42" t="n"/>
      <c r="C55" s="43" t="n"/>
      <c r="D55" s="43" t="n"/>
      <c r="E55" s="43" t="n"/>
      <c r="F55" s="43" t="n"/>
      <c r="G55" s="43" t="n"/>
      <c r="H55" s="44" t="n"/>
    </row>
    <row r="57" ht="20" customHeight="1" s="28">
      <c r="B57" s="32" t="inlineStr">
        <is>
          <t>Related functions (optional)</t>
        </is>
      </c>
    </row>
    <row r="58" ht="45" customHeight="1" s="28">
      <c r="B58" s="37" t="inlineStr">
        <is>
          <t>SORT (often wrapped around FILTER, e.g. =SORT(FILTER(...),3,-1) ranks the results by yield) and XLOOKUP / VLOOKUP, which return only ONE matching value instead of every match.</t>
        </is>
      </c>
      <c r="C58" s="38" t="n"/>
      <c r="D58" s="38" t="n"/>
      <c r="E58" s="38" t="n"/>
      <c r="F58" s="38" t="n"/>
      <c r="G58" s="38" t="n"/>
      <c r="H58" s="39" t="n"/>
    </row>
    <row r="60">
      <c r="B60" s="29" t="n"/>
    </row>
  </sheetData>
  <mergeCells count="28">
    <mergeCell ref="B49:H49"/>
    <mergeCell ref="E16:H16"/>
    <mergeCell ref="B46:H47"/>
    <mergeCell ref="B42:H43"/>
    <mergeCell ref="B20:H20"/>
    <mergeCell ref="B45:H45"/>
    <mergeCell ref="E18:H18"/>
    <mergeCell ref="D6:H6"/>
    <mergeCell ref="B41:H41"/>
    <mergeCell ref="B3:H3"/>
    <mergeCell ref="E14:H14"/>
    <mergeCell ref="E17:H17"/>
    <mergeCell ref="B58:H58"/>
    <mergeCell ref="B9:H10"/>
    <mergeCell ref="B21:H21"/>
    <mergeCell ref="B12:H12"/>
    <mergeCell ref="D37:H37"/>
    <mergeCell ref="B60:H60"/>
    <mergeCell ref="B8:H8"/>
    <mergeCell ref="D39:H39"/>
    <mergeCell ref="B54:H55"/>
    <mergeCell ref="B13:H13"/>
    <mergeCell ref="B57:H57"/>
    <mergeCell ref="B53:H53"/>
    <mergeCell ref="E15:H15"/>
    <mergeCell ref="D38:H38"/>
    <mergeCell ref="B50:H51"/>
    <mergeCell ref="B19:H19"/>
  </mergeCells>
  <conditionalFormatting sqref="D6">
    <cfRule type="expression" priority="1" dxfId="1" stopIfTrue="1">
      <formula>LEFT($D$6,5)="Ready"</formula>
    </cfRule>
    <cfRule type="expression" priority="2" dxfId="0">
      <formula>LEFT($D$6,5)&lt;&gt;"Ready"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2026-09-11T01:12:17Z</dcterms:created>
  <dcterms:modified xmlns:dcterms="http://purl.org/dc/terms/" xmlns:xsi="http://www.w3.org/2001/XMLSchema-instance" xsi:type="dcterms:W3CDTF">2026-10-26T23:27:11Z</dcterms:modified>
  <cp:lastModifiedBy>Microsoft Office User</cp:lastModifiedBy>
</cp:coreProperties>
</file>